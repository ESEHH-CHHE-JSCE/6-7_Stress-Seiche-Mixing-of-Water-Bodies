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yajima/Dropbox/公式集/"/>
    </mc:Choice>
  </mc:AlternateContent>
  <xr:revisionPtr revIDLastSave="0" documentId="13_ncr:1_{CAA23C94-72F4-764D-AD99-4C07A426CF79}" xr6:coauthVersionLast="47" xr6:coauthVersionMax="47" xr10:uidLastSave="{00000000-0000-0000-0000-000000000000}"/>
  <bookViews>
    <workbookView xWindow="5140" yWindow="1560" windowWidth="28360" windowHeight="20200" xr2:uid="{9B5C14E5-9616-B449-9323-B913C2E150FB}"/>
  </bookViews>
  <sheets>
    <sheet name="抗力係数と風応力" sheetId="1" r:id="rId1"/>
    <sheet name="成層度パラメータと静振（セイシュ）"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2" l="1"/>
  <c r="E5" i="2"/>
  <c r="D10" i="1"/>
  <c r="E15" i="2"/>
  <c r="E11" i="2"/>
  <c r="D20" i="1"/>
  <c r="D8" i="1"/>
  <c r="E29" i="2" l="1"/>
  <c r="E6" i="2"/>
  <c r="E25" i="2" s="1"/>
  <c r="E30" i="2"/>
  <c r="E13" i="2"/>
  <c r="E27" i="2"/>
  <c r="E28" i="2" s="1"/>
  <c r="E18" i="2" l="1"/>
  <c r="E19" i="2" s="1"/>
  <c r="E2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yoshi</author>
    <author>tc={319967F3-577D-483E-8BF3-36545185D3F7}</author>
  </authors>
  <commentList>
    <comment ref="B8" authorId="0" shapeId="0" xr:uid="{BF09897B-124B-4302-AE5A-E3607AFBAA34}">
      <text>
        <r>
          <rPr>
            <b/>
            <sz val="9"/>
            <color rgb="FF000000"/>
            <rFont val="MS P ゴシック"/>
            <charset val="128"/>
          </rPr>
          <t>もう少し詳しく意味を説明したほうがいいと思います．</t>
        </r>
      </text>
    </comment>
    <comment ref="D23" authorId="1" shapeId="0" xr:uid="{319967F3-577D-483E-8BF3-36545185D3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緑や青の枠の意味についても説明が必要では？</t>
      </text>
    </comment>
  </commentList>
</comments>
</file>

<file path=xl/sharedStrings.xml><?xml version="1.0" encoding="utf-8"?>
<sst xmlns="http://schemas.openxmlformats.org/spreadsheetml/2006/main" count="122" uniqueCount="92">
  <si>
    <t>κ =</t>
    <phoneticPr fontId="1"/>
  </si>
  <si>
    <t>風速測定高度</t>
    <rPh sb="0" eb="2">
      <t xml:space="preserve">フウソク </t>
    </rPh>
    <rPh sb="2" eb="4">
      <t xml:space="preserve">ソクテイ </t>
    </rPh>
    <rPh sb="4" eb="6">
      <t xml:space="preserve">コウド </t>
    </rPh>
    <phoneticPr fontId="1"/>
  </si>
  <si>
    <t>重力加速度</t>
    <rPh sb="0" eb="2">
      <t xml:space="preserve">ジュウリョク </t>
    </rPh>
    <rPh sb="2" eb="5">
      <t xml:space="preserve">カソクド </t>
    </rPh>
    <phoneticPr fontId="1"/>
  </si>
  <si>
    <t>Karman定数</t>
    <rPh sb="6" eb="8">
      <t xml:space="preserve">テイスウ </t>
    </rPh>
    <phoneticPr fontId="1"/>
  </si>
  <si>
    <t>定数</t>
    <rPh sb="0" eb="2">
      <t xml:space="preserve">テイスウ </t>
    </rPh>
    <phoneticPr fontId="1"/>
  </si>
  <si>
    <t>1≒</t>
    <phoneticPr fontId="1"/>
  </si>
  <si>
    <t>風速</t>
    <rPh sb="0" eb="2">
      <t xml:space="preserve">フウソク </t>
    </rPh>
    <phoneticPr fontId="1"/>
  </si>
  <si>
    <t>抗力係数1</t>
    <rPh sb="0" eb="2">
      <t xml:space="preserve">コウリョク </t>
    </rPh>
    <rPh sb="2" eb="4">
      <t xml:space="preserve">ケイスウ </t>
    </rPh>
    <phoneticPr fontId="1"/>
  </si>
  <si>
    <t>抗力係数2</t>
    <rPh sb="0" eb="2">
      <t xml:space="preserve">コウリョク </t>
    </rPh>
    <rPh sb="2" eb="4">
      <t xml:space="preserve">ケイスウ </t>
    </rPh>
    <phoneticPr fontId="1"/>
  </si>
  <si>
    <t>Charnock式</t>
    <rPh sb="8" eb="9">
      <t xml:space="preserve">シキ </t>
    </rPh>
    <phoneticPr fontId="1"/>
  </si>
  <si>
    <t>Daecon-Webb式</t>
    <rPh sb="11" eb="12">
      <t xml:space="preserve">シキ </t>
    </rPh>
    <phoneticPr fontId="1"/>
  </si>
  <si>
    <t>抗力係数1</t>
    <rPh sb="0" eb="1">
      <t xml:space="preserve">コウリョク </t>
    </rPh>
    <rPh sb="2" eb="3">
      <t xml:space="preserve">ケイスウ </t>
    </rPh>
    <phoneticPr fontId="1"/>
  </si>
  <si>
    <t>ゴール値</t>
    <rPh sb="3" eb="4">
      <t xml:space="preserve">アタイ </t>
    </rPh>
    <phoneticPr fontId="1"/>
  </si>
  <si>
    <t>空気密度</t>
    <rPh sb="0" eb="2">
      <t xml:space="preserve">クウキ </t>
    </rPh>
    <rPh sb="2" eb="4">
      <t xml:space="preserve">ミツド </t>
    </rPh>
    <phoneticPr fontId="1"/>
  </si>
  <si>
    <t>m</t>
    <phoneticPr fontId="1"/>
  </si>
  <si>
    <t>m/s</t>
    <phoneticPr fontId="1"/>
  </si>
  <si>
    <t>g  =</t>
    <phoneticPr fontId="1"/>
  </si>
  <si>
    <t>抗力係数</t>
    <rPh sb="0" eb="2">
      <t xml:space="preserve">コウリョク </t>
    </rPh>
    <rPh sb="2" eb="4">
      <t xml:space="preserve">ケイスウ </t>
    </rPh>
    <phoneticPr fontId="1"/>
  </si>
  <si>
    <r>
      <t>kg/m</t>
    </r>
    <r>
      <rPr>
        <vertAlign val="superscript"/>
        <sz val="12"/>
        <color theme="1"/>
        <rFont val="游ゴシック"/>
        <family val="3"/>
        <charset val="128"/>
      </rPr>
      <t>3</t>
    </r>
    <phoneticPr fontId="1"/>
  </si>
  <si>
    <r>
      <t>m/s</t>
    </r>
    <r>
      <rPr>
        <vertAlign val="superscript"/>
        <sz val="12"/>
        <color theme="1"/>
        <rFont val="游ゴシック"/>
        <family val="3"/>
        <charset val="128"/>
      </rPr>
      <t>2</t>
    </r>
    <phoneticPr fontId="1"/>
  </si>
  <si>
    <t>抗力係数の計算</t>
    <rPh sb="0" eb="2">
      <t xml:space="preserve">コウリョク </t>
    </rPh>
    <rPh sb="2" eb="4">
      <t xml:space="preserve">ケイスウ </t>
    </rPh>
    <rPh sb="5" eb="7">
      <t xml:space="preserve">ケイサン </t>
    </rPh>
    <phoneticPr fontId="1"/>
  </si>
  <si>
    <t>風応力</t>
    <rPh sb="0" eb="1">
      <t xml:space="preserve">カゼ </t>
    </rPh>
    <rPh sb="1" eb="3">
      <t xml:space="preserve">オウリョク </t>
    </rPh>
    <phoneticPr fontId="1"/>
  </si>
  <si>
    <t>風応力の計算</t>
    <rPh sb="0" eb="1">
      <t xml:space="preserve">カゼ </t>
    </rPh>
    <rPh sb="1" eb="3">
      <t xml:space="preserve">オウリョク </t>
    </rPh>
    <rPh sb="4" eb="6">
      <t xml:space="preserve">ケイサン </t>
    </rPh>
    <phoneticPr fontId="1"/>
  </si>
  <si>
    <t>水域の水平スケール</t>
    <rPh sb="0" eb="2">
      <t xml:space="preserve">スイイキノ </t>
    </rPh>
    <rPh sb="3" eb="5">
      <t xml:space="preserve">スイヘイ </t>
    </rPh>
    <phoneticPr fontId="1"/>
  </si>
  <si>
    <t>水域の鉛直スケール</t>
    <rPh sb="0" eb="2">
      <t xml:space="preserve">スイイキノ </t>
    </rPh>
    <rPh sb="3" eb="5">
      <t xml:space="preserve">エンチョク </t>
    </rPh>
    <phoneticPr fontId="1"/>
  </si>
  <si>
    <t>上層密度</t>
    <rPh sb="0" eb="2">
      <t xml:space="preserve">ジョウソウ </t>
    </rPh>
    <rPh sb="2" eb="4">
      <t xml:space="preserve">ミツド </t>
    </rPh>
    <phoneticPr fontId="1"/>
  </si>
  <si>
    <t>下層密度</t>
    <rPh sb="0" eb="2">
      <t xml:space="preserve">カソウ </t>
    </rPh>
    <rPh sb="2" eb="4">
      <t xml:space="preserve">ミツド </t>
    </rPh>
    <phoneticPr fontId="1"/>
  </si>
  <si>
    <t>相対密度差</t>
    <rPh sb="0" eb="2">
      <t xml:space="preserve">ソウタイ </t>
    </rPh>
    <rPh sb="2" eb="5">
      <t xml:space="preserve">ミツドサ </t>
    </rPh>
    <phoneticPr fontId="1"/>
  </si>
  <si>
    <t>ε=</t>
    <phoneticPr fontId="1"/>
  </si>
  <si>
    <t>上層水温</t>
    <rPh sb="0" eb="2">
      <t xml:space="preserve">ジョウソウ </t>
    </rPh>
    <rPh sb="2" eb="4">
      <t xml:space="preserve">スイオン </t>
    </rPh>
    <phoneticPr fontId="1"/>
  </si>
  <si>
    <t>下層水温</t>
    <rPh sb="0" eb="1">
      <t xml:space="preserve">カソウ </t>
    </rPh>
    <rPh sb="2" eb="4">
      <t xml:space="preserve">スイオン </t>
    </rPh>
    <phoneticPr fontId="1"/>
  </si>
  <si>
    <t>℃</t>
    <phoneticPr fontId="1"/>
  </si>
  <si>
    <t>同上</t>
    <rPh sb="0" eb="2">
      <t xml:space="preserve">ドウジョウ </t>
    </rPh>
    <phoneticPr fontId="1"/>
  </si>
  <si>
    <t>風諸量</t>
    <rPh sb="0" eb="1">
      <t xml:space="preserve">カゼニ </t>
    </rPh>
    <rPh sb="1" eb="3">
      <t xml:space="preserve">ショリョウ </t>
    </rPh>
    <phoneticPr fontId="1"/>
  </si>
  <si>
    <t>成層諸量</t>
    <rPh sb="0" eb="2">
      <t xml:space="preserve">セイソウ </t>
    </rPh>
    <rPh sb="2" eb="4">
      <t xml:space="preserve">ショリョウ </t>
    </rPh>
    <phoneticPr fontId="1"/>
  </si>
  <si>
    <t>水域諸量</t>
    <rPh sb="0" eb="2">
      <t xml:space="preserve">スイイキ </t>
    </rPh>
    <rPh sb="2" eb="4">
      <t xml:space="preserve">ショリョウ </t>
    </rPh>
    <phoneticPr fontId="1"/>
  </si>
  <si>
    <t>上層水深</t>
    <rPh sb="0" eb="1">
      <t xml:space="preserve">ジョウソウ </t>
    </rPh>
    <rPh sb="2" eb="4">
      <t xml:space="preserve">スイシン </t>
    </rPh>
    <phoneticPr fontId="1"/>
  </si>
  <si>
    <t>下層水深</t>
    <rPh sb="0" eb="2">
      <t xml:space="preserve">カソウ </t>
    </rPh>
    <rPh sb="2" eb="4">
      <t xml:space="preserve">スイシン </t>
    </rPh>
    <phoneticPr fontId="1"/>
  </si>
  <si>
    <t>一般諸量</t>
    <rPh sb="0" eb="2">
      <t xml:space="preserve">イッパン </t>
    </rPh>
    <rPh sb="2" eb="4">
      <t xml:space="preserve">ショリョウ </t>
    </rPh>
    <phoneticPr fontId="1"/>
  </si>
  <si>
    <t>水面の下側の摩擦速度</t>
    <rPh sb="0" eb="2">
      <t xml:space="preserve">スイメン </t>
    </rPh>
    <rPh sb="3" eb="5">
      <t xml:space="preserve">シタガワ </t>
    </rPh>
    <rPh sb="6" eb="8">
      <t xml:space="preserve">マサツ </t>
    </rPh>
    <rPh sb="8" eb="10">
      <t xml:space="preserve">ソクド </t>
    </rPh>
    <phoneticPr fontId="1"/>
  </si>
  <si>
    <t>成層度パラメータ</t>
    <rPh sb="0" eb="1">
      <t xml:space="preserve">セイソウド </t>
    </rPh>
    <phoneticPr fontId="1"/>
  </si>
  <si>
    <t>Richardson数</t>
    <rPh sb="10" eb="11">
      <t xml:space="preserve">スウ </t>
    </rPh>
    <phoneticPr fontId="1"/>
  </si>
  <si>
    <t>Wedderburn数</t>
    <rPh sb="10" eb="11">
      <t xml:space="preserve">スウ </t>
    </rPh>
    <phoneticPr fontId="1"/>
  </si>
  <si>
    <t>成層度パラメータの計算</t>
    <rPh sb="0" eb="3">
      <t xml:space="preserve">セイソウド </t>
    </rPh>
    <rPh sb="9" eb="11">
      <t xml:space="preserve">ケイサン </t>
    </rPh>
    <phoneticPr fontId="1"/>
  </si>
  <si>
    <t>セットアップ量および静振（セイシュ）の計算</t>
    <rPh sb="10" eb="11">
      <t xml:space="preserve">シズカ </t>
    </rPh>
    <rPh sb="11" eb="12">
      <t xml:space="preserve">フル </t>
    </rPh>
    <rPh sb="19" eb="21">
      <t xml:space="preserve">ケイサン </t>
    </rPh>
    <phoneticPr fontId="1"/>
  </si>
  <si>
    <t>水域風上端からの水平距離</t>
    <rPh sb="0" eb="2">
      <t xml:space="preserve">スイイキ </t>
    </rPh>
    <rPh sb="2" eb="4">
      <t xml:space="preserve">カザカミ </t>
    </rPh>
    <rPh sb="4" eb="5">
      <t xml:space="preserve">ハシ </t>
    </rPh>
    <rPh sb="8" eb="10">
      <t xml:space="preserve">スイヘイ </t>
    </rPh>
    <rPh sb="10" eb="12">
      <t xml:space="preserve">キョリ </t>
    </rPh>
    <phoneticPr fontId="1"/>
  </si>
  <si>
    <t>静水面からの水位変化</t>
    <rPh sb="0" eb="1">
      <t xml:space="preserve">シズカ </t>
    </rPh>
    <rPh sb="1" eb="3">
      <t xml:space="preserve">スイメン </t>
    </rPh>
    <rPh sb="6" eb="10">
      <t xml:space="preserve">スイイヘンカ </t>
    </rPh>
    <phoneticPr fontId="1"/>
  </si>
  <si>
    <t>W&lt;1で湧昇</t>
    <rPh sb="4" eb="6">
      <t xml:space="preserve">ユウショウ </t>
    </rPh>
    <phoneticPr fontId="1"/>
  </si>
  <si>
    <t>静振（セイシュ）</t>
    <rPh sb="0" eb="1">
      <t xml:space="preserve">セイ </t>
    </rPh>
    <rPh sb="1" eb="2">
      <t xml:space="preserve">フル </t>
    </rPh>
    <phoneticPr fontId="1"/>
  </si>
  <si>
    <t>表面静振（セイシュ）の周期</t>
    <rPh sb="0" eb="2">
      <t xml:space="preserve">ヒョウメン </t>
    </rPh>
    <rPh sb="2" eb="3">
      <t xml:space="preserve">シズカ </t>
    </rPh>
    <rPh sb="3" eb="4">
      <t xml:space="preserve">フル </t>
    </rPh>
    <rPh sb="11" eb="13">
      <t xml:space="preserve">シュウキ </t>
    </rPh>
    <phoneticPr fontId="1"/>
  </si>
  <si>
    <t>内部静振（セイシュ）の周期</t>
    <rPh sb="0" eb="2">
      <t xml:space="preserve">ナイブ </t>
    </rPh>
    <rPh sb="2" eb="3">
      <t xml:space="preserve">シズカ </t>
    </rPh>
    <rPh sb="3" eb="4">
      <t xml:space="preserve">フル </t>
    </rPh>
    <rPh sb="11" eb="13">
      <t xml:space="preserve">シュウキ </t>
    </rPh>
    <phoneticPr fontId="1"/>
  </si>
  <si>
    <t>セットアップ量</t>
    <rPh sb="6" eb="7">
      <t xml:space="preserve">リョウ </t>
    </rPh>
    <phoneticPr fontId="1"/>
  </si>
  <si>
    <t>s（秒）</t>
    <rPh sb="2" eb="3">
      <t xml:space="preserve">ビョウ </t>
    </rPh>
    <phoneticPr fontId="1"/>
  </si>
  <si>
    <t>h（時間）</t>
    <rPh sb="2" eb="4">
      <t xml:space="preserve">ジカン </t>
    </rPh>
    <phoneticPr fontId="1"/>
  </si>
  <si>
    <t>　</t>
    <phoneticPr fontId="1"/>
  </si>
  <si>
    <t>Daecon-Webb式 (風速測定高度は10m)</t>
    <rPh sb="11" eb="12">
      <t xml:space="preserve">シキ </t>
    </rPh>
    <rPh sb="14" eb="16">
      <t xml:space="preserve">フウソク </t>
    </rPh>
    <rPh sb="16" eb="18">
      <t xml:space="preserve">ソクテイ </t>
    </rPh>
    <rPh sb="18" eb="20">
      <t xml:space="preserve">コウド </t>
    </rPh>
    <phoneticPr fontId="1"/>
  </si>
  <si>
    <r>
      <rPr>
        <i/>
        <sz val="12"/>
        <color theme="1"/>
        <rFont val="Times New Roman"/>
        <family val="1"/>
      </rPr>
      <t>C</t>
    </r>
    <r>
      <rPr>
        <i/>
        <vertAlign val="subscript"/>
        <sz val="12"/>
        <color theme="1"/>
        <rFont val="Times New Roman"/>
        <family val="1"/>
      </rPr>
      <t>D</t>
    </r>
    <r>
      <rPr>
        <vertAlign val="subscript"/>
        <sz val="12"/>
        <color theme="1"/>
        <rFont val="Times New Roman"/>
        <family val="1"/>
      </rPr>
      <t>2</t>
    </r>
    <r>
      <rPr>
        <sz val="12"/>
        <color theme="1"/>
        <rFont val="Times New Roman"/>
        <family val="1"/>
      </rPr>
      <t xml:space="preserve"> =</t>
    </r>
    <phoneticPr fontId="1"/>
  </si>
  <si>
    <r>
      <rPr>
        <i/>
        <sz val="12"/>
        <color theme="1"/>
        <rFont val="Times New Roman"/>
        <family val="1"/>
      </rPr>
      <t>C</t>
    </r>
    <r>
      <rPr>
        <i/>
        <vertAlign val="subscript"/>
        <sz val="12"/>
        <color theme="1"/>
        <rFont val="Times New Roman"/>
        <family val="1"/>
      </rPr>
      <t>D</t>
    </r>
    <r>
      <rPr>
        <vertAlign val="subscript"/>
        <sz val="12"/>
        <color theme="1"/>
        <rFont val="Times New Roman"/>
        <family val="1"/>
      </rPr>
      <t>1</t>
    </r>
    <r>
      <rPr>
        <sz val="12"/>
        <color theme="1"/>
        <rFont val="Times New Roman"/>
        <family val="1"/>
      </rPr>
      <t xml:space="preserve"> =</t>
    </r>
    <phoneticPr fontId="1"/>
  </si>
  <si>
    <r>
      <rPr>
        <i/>
        <sz val="12"/>
        <color theme="1"/>
        <rFont val="Times New Roman"/>
        <family val="1"/>
      </rPr>
      <t>b</t>
    </r>
    <r>
      <rPr>
        <sz val="12"/>
        <color theme="1"/>
        <rFont val="Times New Roman"/>
        <family val="1"/>
      </rPr>
      <t xml:space="preserve"> =</t>
    </r>
    <phoneticPr fontId="1"/>
  </si>
  <si>
    <r>
      <rPr>
        <i/>
        <sz val="12"/>
        <color theme="1"/>
        <rFont val="Times New Roman"/>
        <family val="1"/>
      </rPr>
      <t>Uz</t>
    </r>
    <r>
      <rPr>
        <sz val="12"/>
        <color theme="1"/>
        <rFont val="Times New Roman"/>
        <family val="1"/>
      </rPr>
      <t xml:space="preserve"> =</t>
    </r>
    <phoneticPr fontId="1"/>
  </si>
  <si>
    <r>
      <rPr>
        <i/>
        <sz val="12"/>
        <color theme="1"/>
        <rFont val="Times New Roman"/>
        <family val="1"/>
      </rPr>
      <t>z</t>
    </r>
    <r>
      <rPr>
        <sz val="12"/>
        <color theme="1"/>
        <rFont val="Times New Roman"/>
        <family val="1"/>
      </rPr>
      <t xml:space="preserve">  =</t>
    </r>
    <phoneticPr fontId="1"/>
  </si>
  <si>
    <r>
      <rPr>
        <sz val="12"/>
        <color theme="1"/>
        <rFont val="Times New Roman Italic"/>
      </rPr>
      <t>T</t>
    </r>
    <r>
      <rPr>
        <vertAlign val="subscript"/>
        <sz val="12"/>
        <color theme="1"/>
        <rFont val="Times New Roman"/>
        <family val="1"/>
      </rPr>
      <t>1</t>
    </r>
    <r>
      <rPr>
        <vertAlign val="subscript"/>
        <sz val="12"/>
        <color theme="1"/>
        <rFont val="Times New Roman Italic"/>
      </rPr>
      <t xml:space="preserve"> </t>
    </r>
    <r>
      <rPr>
        <sz val="12"/>
        <color theme="1"/>
        <rFont val="Times New Roman"/>
        <family val="1"/>
      </rPr>
      <t>=</t>
    </r>
    <phoneticPr fontId="1"/>
  </si>
  <si>
    <r>
      <rPr>
        <sz val="12"/>
        <color theme="1"/>
        <rFont val="Times New Roman Italic"/>
      </rPr>
      <t>T</t>
    </r>
    <r>
      <rPr>
        <vertAlign val="subscript"/>
        <sz val="12"/>
        <color theme="1"/>
        <rFont val="Times New Roman"/>
        <family val="1"/>
      </rPr>
      <t xml:space="preserve">2 </t>
    </r>
    <r>
      <rPr>
        <sz val="12"/>
        <color theme="1"/>
        <rFont val="Times New Roman"/>
        <family val="1"/>
      </rPr>
      <t>=</t>
    </r>
    <phoneticPr fontId="1"/>
  </si>
  <si>
    <r>
      <rPr>
        <i/>
        <sz val="12"/>
        <color theme="1"/>
        <rFont val="Times New Roman"/>
        <family val="1"/>
      </rPr>
      <t>h</t>
    </r>
    <r>
      <rPr>
        <vertAlign val="subscript"/>
        <sz val="12"/>
        <color theme="1"/>
        <rFont val="Times New Roman"/>
        <family val="1"/>
      </rPr>
      <t xml:space="preserve">1 </t>
    </r>
    <r>
      <rPr>
        <sz val="12"/>
        <color theme="1"/>
        <rFont val="Times New Roman"/>
        <family val="1"/>
      </rPr>
      <t>=</t>
    </r>
    <phoneticPr fontId="1"/>
  </si>
  <si>
    <r>
      <rPr>
        <i/>
        <sz val="12"/>
        <color theme="1"/>
        <rFont val="Times New Roman"/>
        <family val="1"/>
      </rPr>
      <t>h</t>
    </r>
    <r>
      <rPr>
        <vertAlign val="subscript"/>
        <sz val="12"/>
        <color theme="1"/>
        <rFont val="Times New Roman"/>
        <family val="1"/>
      </rPr>
      <t xml:space="preserve">2 </t>
    </r>
    <r>
      <rPr>
        <sz val="12"/>
        <color theme="1"/>
        <rFont val="Times New Roman"/>
        <family val="1"/>
      </rPr>
      <t>=</t>
    </r>
    <phoneticPr fontId="1"/>
  </si>
  <si>
    <r>
      <rPr>
        <i/>
        <sz val="12"/>
        <color theme="1"/>
        <rFont val="Times New Roman"/>
        <family val="1"/>
      </rPr>
      <t xml:space="preserve">L </t>
    </r>
    <r>
      <rPr>
        <sz val="12"/>
        <color theme="1"/>
        <rFont val="Times New Roman"/>
        <family val="1"/>
      </rPr>
      <t>=</t>
    </r>
    <phoneticPr fontId="1"/>
  </si>
  <si>
    <r>
      <rPr>
        <i/>
        <sz val="12"/>
        <color theme="1"/>
        <rFont val="Times New Roman"/>
        <family val="1"/>
      </rPr>
      <t>H</t>
    </r>
    <r>
      <rPr>
        <sz val="12"/>
        <color theme="1"/>
        <rFont val="Times New Roman"/>
        <family val="1"/>
      </rPr>
      <t xml:space="preserve"> =</t>
    </r>
    <phoneticPr fontId="1"/>
  </si>
  <si>
    <r>
      <rPr>
        <i/>
        <sz val="12"/>
        <color theme="1"/>
        <rFont val="Times New Roman"/>
        <family val="1"/>
      </rPr>
      <t>R</t>
    </r>
    <r>
      <rPr>
        <i/>
        <vertAlign val="subscript"/>
        <sz val="12"/>
        <color theme="1"/>
        <rFont val="Times New Roman"/>
        <family val="1"/>
      </rPr>
      <t>iw</t>
    </r>
    <r>
      <rPr>
        <sz val="12"/>
        <color theme="1"/>
        <rFont val="Times New Roman"/>
        <family val="1"/>
      </rPr>
      <t xml:space="preserve"> =</t>
    </r>
    <phoneticPr fontId="1"/>
  </si>
  <si>
    <r>
      <rPr>
        <i/>
        <sz val="12"/>
        <color theme="1"/>
        <rFont val="Times New Roman"/>
        <family val="1"/>
      </rPr>
      <t>W</t>
    </r>
    <r>
      <rPr>
        <sz val="12"/>
        <color theme="1"/>
        <rFont val="Times New Roman"/>
        <family val="1"/>
      </rPr>
      <t xml:space="preserve"> =</t>
    </r>
    <phoneticPr fontId="1"/>
  </si>
  <si>
    <r>
      <rPr>
        <i/>
        <sz val="12"/>
        <color theme="1"/>
        <rFont val="Times New Roman"/>
        <family val="1"/>
      </rPr>
      <t>x</t>
    </r>
    <r>
      <rPr>
        <sz val="12"/>
        <color theme="1"/>
        <rFont val="Times New Roman"/>
        <family val="1"/>
      </rPr>
      <t xml:space="preserve"> =</t>
    </r>
    <phoneticPr fontId="1"/>
  </si>
  <si>
    <r>
      <rPr>
        <sz val="12"/>
        <color theme="1"/>
        <rFont val="Times New Roman Italic"/>
      </rPr>
      <t>ζ</t>
    </r>
    <r>
      <rPr>
        <vertAlign val="subscript"/>
        <sz val="12"/>
        <color theme="1"/>
        <rFont val="Times New Roman"/>
        <family val="1"/>
      </rPr>
      <t>2</t>
    </r>
    <r>
      <rPr>
        <sz val="12"/>
        <color theme="1"/>
        <rFont val="Times New Roman"/>
        <family val="1"/>
      </rPr>
      <t>(</t>
    </r>
    <r>
      <rPr>
        <i/>
        <sz val="12"/>
        <color theme="1"/>
        <rFont val="Times New Roman"/>
        <family val="1"/>
      </rPr>
      <t>x</t>
    </r>
    <r>
      <rPr>
        <sz val="12"/>
        <color theme="1"/>
        <rFont val="Times New Roman"/>
        <family val="1"/>
      </rPr>
      <t>)=</t>
    </r>
    <phoneticPr fontId="1"/>
  </si>
  <si>
    <r>
      <rPr>
        <i/>
        <sz val="12"/>
        <color theme="1"/>
        <rFont val="Times New Roman"/>
        <family val="1"/>
      </rPr>
      <t>ζ</t>
    </r>
    <r>
      <rPr>
        <vertAlign val="subscript"/>
        <sz val="12"/>
        <color theme="1"/>
        <rFont val="Times New Roman"/>
        <family val="1"/>
      </rPr>
      <t>1</t>
    </r>
    <r>
      <rPr>
        <sz val="12"/>
        <color theme="1"/>
        <rFont val="Times New Roman"/>
        <family val="1"/>
      </rPr>
      <t>(</t>
    </r>
    <r>
      <rPr>
        <i/>
        <sz val="12"/>
        <color theme="1"/>
        <rFont val="Times New Roman"/>
        <family val="1"/>
      </rPr>
      <t>x</t>
    </r>
    <r>
      <rPr>
        <sz val="12"/>
        <color theme="1"/>
        <rFont val="Times New Roman"/>
        <family val="1"/>
      </rPr>
      <t>)=</t>
    </r>
    <phoneticPr fontId="1"/>
  </si>
  <si>
    <r>
      <rPr>
        <i/>
        <sz val="12"/>
        <color theme="1"/>
        <rFont val="Times New Roman"/>
        <family val="1"/>
      </rPr>
      <t>t</t>
    </r>
    <r>
      <rPr>
        <sz val="12"/>
        <color theme="1"/>
        <rFont val="Times New Roman"/>
        <family val="1"/>
      </rPr>
      <t xml:space="preserve"> =</t>
    </r>
    <phoneticPr fontId="1"/>
  </si>
  <si>
    <r>
      <rPr>
        <i/>
        <sz val="12"/>
        <color theme="1"/>
        <rFont val="Times New Roman"/>
        <family val="1"/>
      </rPr>
      <t>T</t>
    </r>
    <r>
      <rPr>
        <sz val="12"/>
        <color theme="1"/>
        <rFont val="Times New Roman"/>
        <family val="1"/>
      </rPr>
      <t xml:space="preserve"> =</t>
    </r>
    <phoneticPr fontId="1"/>
  </si>
  <si>
    <r>
      <rPr>
        <i/>
        <sz val="12"/>
        <color theme="1"/>
        <rFont val="Times New Roman"/>
        <family val="1"/>
      </rPr>
      <t>ρ</t>
    </r>
    <r>
      <rPr>
        <vertAlign val="subscript"/>
        <sz val="12"/>
        <color theme="1"/>
        <rFont val="Times New Roman"/>
        <family val="1"/>
      </rPr>
      <t>1</t>
    </r>
    <r>
      <rPr>
        <sz val="12"/>
        <color theme="1"/>
        <rFont val="Times New Roman"/>
        <family val="1"/>
      </rPr>
      <t xml:space="preserve"> =</t>
    </r>
    <phoneticPr fontId="1"/>
  </si>
  <si>
    <r>
      <rPr>
        <i/>
        <sz val="12"/>
        <color theme="1"/>
        <rFont val="Times New Roman"/>
        <family val="1"/>
      </rPr>
      <t>ρ</t>
    </r>
    <r>
      <rPr>
        <vertAlign val="subscript"/>
        <sz val="12"/>
        <color theme="1"/>
        <rFont val="Times New Roman"/>
        <family val="1"/>
      </rPr>
      <t>2</t>
    </r>
    <r>
      <rPr>
        <sz val="12"/>
        <color theme="1"/>
        <rFont val="Times New Roman"/>
        <family val="1"/>
      </rPr>
      <t xml:space="preserve"> =</t>
    </r>
    <phoneticPr fontId="1"/>
  </si>
  <si>
    <r>
      <rPr>
        <i/>
        <sz val="12"/>
        <color theme="1"/>
        <rFont val="Times New Roman"/>
        <family val="1"/>
      </rPr>
      <t>ρ</t>
    </r>
    <r>
      <rPr>
        <vertAlign val="subscript"/>
        <sz val="12"/>
        <color theme="1"/>
        <rFont val="Times New Roman"/>
        <family val="1"/>
      </rPr>
      <t>a</t>
    </r>
    <r>
      <rPr>
        <sz val="12"/>
        <color theme="1"/>
        <rFont val="Times New Roman"/>
        <family val="1"/>
      </rPr>
      <t xml:space="preserve"> =</t>
    </r>
    <phoneticPr fontId="1"/>
  </si>
  <si>
    <r>
      <rPr>
        <i/>
        <sz val="12"/>
        <color theme="1"/>
        <rFont val="Times New Roman"/>
        <family val="1"/>
      </rPr>
      <t>C</t>
    </r>
    <r>
      <rPr>
        <i/>
        <vertAlign val="subscript"/>
        <sz val="12"/>
        <color theme="1"/>
        <rFont val="Times New Roman"/>
        <family val="1"/>
      </rPr>
      <t>D</t>
    </r>
    <r>
      <rPr>
        <vertAlign val="subscript"/>
        <sz val="12"/>
        <color theme="1"/>
        <rFont val="Times New Roman"/>
        <family val="1"/>
      </rPr>
      <t xml:space="preserve"> </t>
    </r>
    <r>
      <rPr>
        <sz val="12"/>
        <color theme="1"/>
        <rFont val="Times New Roman"/>
        <family val="1"/>
      </rPr>
      <t>=</t>
    </r>
    <phoneticPr fontId="1"/>
  </si>
  <si>
    <r>
      <rPr>
        <i/>
        <sz val="12"/>
        <color theme="1"/>
        <rFont val="Times New Roman"/>
        <family val="1"/>
      </rPr>
      <t>u</t>
    </r>
    <r>
      <rPr>
        <vertAlign val="subscript"/>
        <sz val="12"/>
        <color theme="1"/>
        <rFont val="Times New Roman"/>
        <family val="1"/>
      </rPr>
      <t xml:space="preserve">* </t>
    </r>
    <r>
      <rPr>
        <sz val="12"/>
        <color theme="1"/>
        <rFont val="Times New Roman"/>
        <family val="1"/>
      </rPr>
      <t>=</t>
    </r>
    <phoneticPr fontId="1"/>
  </si>
  <si>
    <r>
      <rPr>
        <i/>
        <sz val="12"/>
        <color theme="1"/>
        <rFont val="Times New Roman"/>
        <family val="1"/>
      </rPr>
      <t>τ</t>
    </r>
    <r>
      <rPr>
        <vertAlign val="subscript"/>
        <sz val="12"/>
        <color theme="1"/>
        <rFont val="Times New Roman"/>
        <family val="1"/>
      </rPr>
      <t xml:space="preserve">0 </t>
    </r>
    <r>
      <rPr>
        <sz val="12"/>
        <color theme="1"/>
        <rFont val="Times New Roman"/>
        <family val="1"/>
      </rPr>
      <t>=</t>
    </r>
    <phoneticPr fontId="1"/>
  </si>
  <si>
    <t>10m高度</t>
    <rPh sb="3" eb="5">
      <t xml:space="preserve">コウド </t>
    </rPh>
    <phoneticPr fontId="1"/>
  </si>
  <si>
    <t>（2成層を仮定）</t>
    <rPh sb="2" eb="4">
      <t xml:space="preserve">セイソウ </t>
    </rPh>
    <rPh sb="5" eb="7">
      <t xml:space="preserve">カテイ </t>
    </rPh>
    <phoneticPr fontId="1"/>
  </si>
  <si>
    <t>参考1</t>
    <rPh sb="0" eb="2">
      <t xml:space="preserve">サンコウ </t>
    </rPh>
    <phoneticPr fontId="1"/>
  </si>
  <si>
    <t>評価位置</t>
    <rPh sb="0" eb="2">
      <t xml:space="preserve">ヒョウカ </t>
    </rPh>
    <rPh sb="2" eb="4">
      <t xml:space="preserve">イチ </t>
    </rPh>
    <phoneticPr fontId="1"/>
  </si>
  <si>
    <t>水理公式集2018年版P.869の式(6-6.4)の左右辺が一致する（ゴール値=1）ように，excelのゴールシーク機能を用いて計算します．</t>
    <rPh sb="26" eb="28">
      <t xml:space="preserve">サウヘン </t>
    </rPh>
    <rPh sb="28" eb="29">
      <t xml:space="preserve">ウヘン </t>
    </rPh>
    <rPh sb="30" eb="32">
      <t xml:space="preserve">イッチ </t>
    </rPh>
    <rPh sb="58" eb="60">
      <t xml:space="preserve">キノウ </t>
    </rPh>
    <rPh sb="61" eb="62">
      <t xml:space="preserve">モチイテ </t>
    </rPh>
    <rPh sb="64" eb="66">
      <t xml:space="preserve">ケイサン </t>
    </rPh>
    <phoneticPr fontId="1"/>
  </si>
  <si>
    <t>クリックでゴールシーク計算の実行</t>
    <rPh sb="11" eb="13">
      <t xml:space="preserve">ケイサン </t>
    </rPh>
    <rPh sb="14" eb="16">
      <t xml:space="preserve">ジッコウ </t>
    </rPh>
    <phoneticPr fontId="1"/>
  </si>
  <si>
    <t>入力箇所</t>
    <rPh sb="0" eb="2">
      <t xml:space="preserve">ニュウリョク </t>
    </rPh>
    <rPh sb="2" eb="4">
      <t xml:space="preserve">カショ </t>
    </rPh>
    <phoneticPr fontId="1"/>
  </si>
  <si>
    <t>計算結果</t>
    <rPh sb="0" eb="2">
      <t xml:space="preserve">ケイサン </t>
    </rPh>
    <rPh sb="2" eb="4">
      <t xml:space="preserve">ケッカ </t>
    </rPh>
    <phoneticPr fontId="1"/>
  </si>
  <si>
    <t>静止躍層面からの躍層界面変化</t>
    <rPh sb="0" eb="1">
      <t xml:space="preserve">シズカ </t>
    </rPh>
    <rPh sb="1" eb="2">
      <t xml:space="preserve">シ </t>
    </rPh>
    <rPh sb="2" eb="5">
      <t xml:space="preserve">ヤクソウメン </t>
    </rPh>
    <rPh sb="8" eb="10">
      <t xml:space="preserve">ヤクソウ </t>
    </rPh>
    <rPh sb="10" eb="11">
      <t xml:space="preserve">カイメン </t>
    </rPh>
    <rPh sb="11" eb="12">
      <t xml:space="preserve">カイメン </t>
    </rPh>
    <rPh sb="12" eb="14">
      <t xml:space="preserve">ヘンカ </t>
    </rPh>
    <phoneticPr fontId="1"/>
  </si>
  <si>
    <t>参考1: 環境水理学，土木学会水工学委員会, P.67, 2015.</t>
    <rPh sb="0" eb="2">
      <t xml:space="preserve">サンコウ </t>
    </rPh>
    <rPh sb="5" eb="7">
      <t xml:space="preserve">カンキョウ </t>
    </rPh>
    <rPh sb="7" eb="10">
      <t xml:space="preserve">スイリガク </t>
    </rPh>
    <rPh sb="11" eb="13">
      <t xml:space="preserve">ドボク </t>
    </rPh>
    <rPh sb="13" eb="15">
      <t xml:space="preserve">ガッカイ </t>
    </rPh>
    <rPh sb="15" eb="18">
      <t xml:space="preserve">スイコウガク </t>
    </rPh>
    <rPh sb="18" eb="21">
      <t xml:space="preserve">イインカイ </t>
    </rPh>
    <phoneticPr fontId="1"/>
  </si>
  <si>
    <t>解答該当箇所</t>
    <rPh sb="0" eb="2">
      <t xml:space="preserve">カイトウ </t>
    </rPh>
    <rPh sb="2" eb="4">
      <t xml:space="preserve">ガイトウ </t>
    </rPh>
    <rPh sb="4" eb="6">
      <t xml:space="preserve">カショ </t>
    </rPh>
    <phoneticPr fontId="1"/>
  </si>
  <si>
    <t>Pa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</si>
</sst>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00"/>
    <numFmt numFmtId="177" formatCode="0.0"/>
    <numFmt numFmtId="178" formatCode="0.00.E+00"/>
    <numFmt numFmtId="179" formatCode="0.000"/>
  </numFmts>
  <fonts count="11">
    <font>
      <sz val="12"/>
      <color theme="1"/>
      <name val="游ゴシック"/>
      <family val="2"/>
      <charset val="128"/>
      <scheme val="minor"/>
    </font>
    <font>
      <sz val="6"/>
      <name val="游ゴシック"/>
      <family val="2"/>
      <charset val="128"/>
      <scheme val="minor"/>
    </font>
    <font>
      <sz val="12"/>
      <color rgb="FFFF0000"/>
      <name val="游ゴシック"/>
      <family val="3"/>
      <charset val="128"/>
    </font>
    <font>
      <vertAlign val="superscript"/>
      <sz val="12"/>
      <color theme="1"/>
      <name val="游ゴシック"/>
      <family val="3"/>
      <charset val="128"/>
    </font>
    <font>
      <i/>
      <sz val="12"/>
      <color theme="1"/>
      <name val="Times New Roman"/>
      <family val="1"/>
    </font>
    <font>
      <i/>
      <vertAlign val="subscript"/>
      <sz val="12"/>
      <color theme="1"/>
      <name val="Times New Roman"/>
      <family val="1"/>
    </font>
    <font>
      <vertAlign val="subscript"/>
      <sz val="12"/>
      <color theme="1"/>
      <name val="Times New Roman"/>
      <family val="1"/>
    </font>
    <font>
      <sz val="12"/>
      <color theme="1"/>
      <name val="Times New Roman"/>
      <family val="1"/>
    </font>
    <font>
      <sz val="12"/>
      <color theme="1"/>
      <name val="Times New Roman Italic"/>
    </font>
    <font>
      <vertAlign val="subscript"/>
      <sz val="12"/>
      <color theme="1"/>
      <name val="Times New Roman Italic"/>
    </font>
    <font>
      <b/>
      <sz val="9"/>
      <color rgb="FF000000"/>
      <name val="MS P ゴシック"/>
      <charset val="128"/>
    </font>
  </fonts>
  <fills count="5">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alignment vertical="center"/>
    </xf>
  </cellStyleXfs>
  <cellXfs count="27">
    <xf numFmtId="0" fontId="0" fillId="0" borderId="0" xfId="0">
      <alignment vertical="center"/>
    </xf>
    <xf numFmtId="176" fontId="0" fillId="2" borderId="1" xfId="0" applyNumberFormat="1" applyFill="1" applyBorder="1">
      <alignment vertical="center"/>
    </xf>
    <xf numFmtId="0" fontId="0" fillId="4" borderId="1" xfId="0" applyFill="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2" borderId="1" xfId="0" applyFill="1" applyBorder="1">
      <alignment vertical="center"/>
    </xf>
    <xf numFmtId="177" fontId="0" fillId="0" borderId="8" xfId="0" applyNumberFormat="1" applyBorder="1">
      <alignment vertical="center"/>
    </xf>
    <xf numFmtId="1" fontId="0" fillId="3" borderId="1" xfId="0" applyNumberFormat="1" applyFill="1" applyBorder="1">
      <alignment vertical="center"/>
    </xf>
    <xf numFmtId="0" fontId="0" fillId="0" borderId="0" xfId="0" applyAlignment="1">
      <alignment horizontal="right" vertical="center"/>
    </xf>
    <xf numFmtId="0" fontId="7" fillId="0" borderId="0" xfId="0" applyFont="1">
      <alignment vertical="center"/>
    </xf>
    <xf numFmtId="178" fontId="0" fillId="2" borderId="1" xfId="0" applyNumberFormat="1" applyFill="1" applyBorder="1">
      <alignment vertical="center"/>
    </xf>
    <xf numFmtId="0" fontId="0" fillId="3" borderId="1" xfId="0" applyFill="1" applyBorder="1">
      <alignment vertical="center"/>
    </xf>
    <xf numFmtId="2" fontId="0" fillId="3" borderId="1" xfId="0" applyNumberFormat="1" applyFill="1" applyBorder="1">
      <alignment vertical="center"/>
    </xf>
    <xf numFmtId="1" fontId="0" fillId="2" borderId="1" xfId="0" applyNumberFormat="1" applyFill="1" applyBorder="1">
      <alignment vertical="center"/>
    </xf>
    <xf numFmtId="177" fontId="0" fillId="2" borderId="1" xfId="0" applyNumberFormat="1" applyFill="1" applyBorder="1">
      <alignment vertical="center"/>
    </xf>
    <xf numFmtId="2" fontId="0" fillId="0" borderId="0" xfId="0" applyNumberFormat="1">
      <alignment vertical="center"/>
    </xf>
    <xf numFmtId="178" fontId="0" fillId="2" borderId="10" xfId="0" applyNumberFormat="1" applyFill="1" applyBorder="1">
      <alignment vertical="center"/>
    </xf>
    <xf numFmtId="179" fontId="0" fillId="2" borderId="1" xfId="0" applyNumberFormat="1" applyFill="1" applyBorder="1">
      <alignment vertical="center"/>
    </xf>
    <xf numFmtId="2" fontId="0" fillId="3" borderId="11" xfId="0" applyNumberFormat="1" applyFill="1" applyBorder="1">
      <alignment vertical="center"/>
    </xf>
    <xf numFmtId="176" fontId="0" fillId="3" borderId="11" xfId="0" applyNumberFormat="1" applyFill="1" applyBorder="1">
      <alignment vertical="center"/>
    </xf>
    <xf numFmtId="178" fontId="0" fillId="3" borderId="1" xfId="0" applyNumberFormat="1"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10</xdr:row>
          <xdr:rowOff>228600</xdr:rowOff>
        </xdr:from>
        <xdr:to>
          <xdr:col>3</xdr:col>
          <xdr:colOff>12700</xdr:colOff>
          <xdr:row>12</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FF0000"/>
                  </a:solidFill>
                  <a:latin typeface="游ゴシック" charset="-128"/>
                  <a:ea typeface="游ゴシック" charset="-128"/>
                </a:rPr>
                <a:t>収束計算実行</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Yoshihisa AKAMATSU" id="{4F4DEA64-B39D-4E97-BB9D-C2B94506F272}" userId="S::yakamats@yucivil.onmicrosoft.com::d2d8038e-ed7c-4d31-949d-91fb73d29c98"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3" dT="2023-01-09T13:07:50.70" personId="{4F4DEA64-B39D-4E97-BB9D-C2B94506F272}" id="{319967F3-577D-483E-8BF3-36545185D3F7}">
    <text>緑や青の枠の意味についても説明が必要では？</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47EEB-1C1A-F844-92B7-499443DEBA1C}">
  <sheetPr codeName="Sheet1"/>
  <dimension ref="B1:G27"/>
  <sheetViews>
    <sheetView tabSelected="1" workbookViewId="0">
      <selection activeCell="E30" sqref="E30"/>
    </sheetView>
  </sheetViews>
  <sheetFormatPr baseColWidth="10" defaultColWidth="11.5703125" defaultRowHeight="20"/>
  <cols>
    <col min="4" max="4" width="11.140625" bestFit="1" customWidth="1"/>
    <col min="5" max="5" width="109.42578125" bestFit="1" customWidth="1"/>
  </cols>
  <sheetData>
    <row r="1" spans="2:7" ht="21" thickBot="1">
      <c r="B1" t="s">
        <v>20</v>
      </c>
    </row>
    <row r="2" spans="2:7" ht="21" thickBot="1">
      <c r="B2" s="3"/>
      <c r="C2" s="4"/>
      <c r="D2" s="4"/>
      <c r="E2" s="5"/>
    </row>
    <row r="3" spans="2:7" ht="21" thickBot="1">
      <c r="B3" s="6" t="s">
        <v>1</v>
      </c>
      <c r="C3" s="15" t="s">
        <v>60</v>
      </c>
      <c r="D3" s="2">
        <v>10</v>
      </c>
      <c r="E3" s="7" t="s">
        <v>14</v>
      </c>
    </row>
    <row r="4" spans="2:7" ht="21" thickBot="1">
      <c r="B4" s="6" t="s">
        <v>6</v>
      </c>
      <c r="C4" s="15" t="s">
        <v>59</v>
      </c>
      <c r="D4" s="2">
        <v>10</v>
      </c>
      <c r="E4" s="7" t="s">
        <v>15</v>
      </c>
    </row>
    <row r="5" spans="2:7" ht="22">
      <c r="B5" s="6" t="s">
        <v>2</v>
      </c>
      <c r="C5" s="15" t="s">
        <v>16</v>
      </c>
      <c r="D5">
        <v>9.8000000000000007</v>
      </c>
      <c r="E5" s="7" t="s">
        <v>19</v>
      </c>
    </row>
    <row r="6" spans="2:7">
      <c r="B6" s="6" t="s">
        <v>3</v>
      </c>
      <c r="C6" t="s">
        <v>0</v>
      </c>
      <c r="D6">
        <v>0.4</v>
      </c>
      <c r="E6" s="7"/>
    </row>
    <row r="7" spans="2:7">
      <c r="B7" s="6" t="s">
        <v>4</v>
      </c>
      <c r="C7" s="15" t="s">
        <v>58</v>
      </c>
      <c r="D7">
        <v>1.0999999999999999E-2</v>
      </c>
      <c r="E7" s="7"/>
    </row>
    <row r="8" spans="2:7" ht="21" thickBot="1">
      <c r="B8" s="6" t="s">
        <v>12</v>
      </c>
      <c r="C8" t="s">
        <v>5</v>
      </c>
      <c r="D8" s="21">
        <f>D9^0.5*1/D6*LN(D5*D3/(D7*D9*D4^2))</f>
        <v>0.99973983493418539</v>
      </c>
      <c r="E8" s="7" t="s">
        <v>84</v>
      </c>
    </row>
    <row r="9" spans="2:7" ht="21" thickBot="1">
      <c r="B9" s="6" t="s">
        <v>11</v>
      </c>
      <c r="C9" s="15" t="s">
        <v>57</v>
      </c>
      <c r="D9" s="16">
        <v>1.2875331581103776E-3</v>
      </c>
      <c r="E9" s="7" t="s">
        <v>9</v>
      </c>
    </row>
    <row r="10" spans="2:7" ht="21" thickBot="1">
      <c r="B10" s="6" t="s">
        <v>8</v>
      </c>
      <c r="C10" s="15" t="s">
        <v>56</v>
      </c>
      <c r="D10" s="16">
        <f>(1+0.07*D4)*10^(-3)</f>
        <v>1.7000000000000001E-3</v>
      </c>
      <c r="E10" s="7" t="s">
        <v>55</v>
      </c>
    </row>
    <row r="11" spans="2:7">
      <c r="B11" s="6"/>
      <c r="E11" s="7"/>
    </row>
    <row r="12" spans="2:7">
      <c r="B12" s="6" t="s">
        <v>7</v>
      </c>
      <c r="E12" s="7" t="s">
        <v>85</v>
      </c>
    </row>
    <row r="13" spans="2:7" ht="21" thickBot="1">
      <c r="B13" s="8"/>
      <c r="C13" s="9"/>
      <c r="D13" s="9"/>
      <c r="E13" s="10"/>
      <c r="G13" t="s">
        <v>54</v>
      </c>
    </row>
    <row r="15" spans="2:7" ht="21" thickBot="1">
      <c r="B15" t="s">
        <v>22</v>
      </c>
    </row>
    <row r="16" spans="2:7" ht="21" thickBot="1">
      <c r="B16" s="3"/>
      <c r="C16" s="4"/>
      <c r="D16" s="4"/>
      <c r="E16" s="5"/>
    </row>
    <row r="17" spans="2:5" ht="23" thickBot="1">
      <c r="B17" s="6" t="s">
        <v>13</v>
      </c>
      <c r="C17" s="15" t="s">
        <v>76</v>
      </c>
      <c r="D17" s="2">
        <v>1.23</v>
      </c>
      <c r="E17" s="7" t="s">
        <v>18</v>
      </c>
    </row>
    <row r="18" spans="2:5" ht="21" thickBot="1">
      <c r="B18" s="6" t="s">
        <v>17</v>
      </c>
      <c r="C18" s="15" t="s">
        <v>77</v>
      </c>
      <c r="D18" s="2">
        <v>1.6999999999999999E-3</v>
      </c>
      <c r="E18" s="7"/>
    </row>
    <row r="19" spans="2:5" ht="21" thickBot="1">
      <c r="B19" s="6" t="s">
        <v>6</v>
      </c>
      <c r="C19" s="15" t="s">
        <v>59</v>
      </c>
      <c r="D19" s="2">
        <v>10</v>
      </c>
      <c r="E19" s="7" t="s">
        <v>15</v>
      </c>
    </row>
    <row r="20" spans="2:5" ht="21" thickBot="1">
      <c r="B20" s="6" t="s">
        <v>21</v>
      </c>
      <c r="C20" s="15" t="s">
        <v>79</v>
      </c>
      <c r="D20" s="26">
        <f>D17*D18*D19^2</f>
        <v>0.20910000000000001</v>
      </c>
      <c r="E20" s="7" t="s">
        <v>91</v>
      </c>
    </row>
    <row r="21" spans="2:5" ht="21" thickBot="1">
      <c r="B21" s="8"/>
      <c r="C21" s="9"/>
      <c r="D21" s="9"/>
      <c r="E21" s="10"/>
    </row>
    <row r="22" spans="2:5" ht="21" thickBot="1"/>
    <row r="23" spans="2:5" ht="21" thickBot="1">
      <c r="C23" s="14" t="s">
        <v>86</v>
      </c>
      <c r="D23" s="2"/>
    </row>
    <row r="24" spans="2:5" ht="21" thickBot="1"/>
    <row r="25" spans="2:5" ht="21" thickBot="1">
      <c r="C25" s="14" t="s">
        <v>87</v>
      </c>
      <c r="D25" s="11"/>
    </row>
    <row r="26" spans="2:5" ht="21" thickBot="1"/>
    <row r="27" spans="2:5" ht="21" thickBot="1">
      <c r="C27" t="s">
        <v>90</v>
      </c>
      <c r="D27" s="17"/>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harnockGoolSeek">
                <anchor moveWithCells="1" sizeWithCells="1">
                  <from>
                    <xdr:col>2</xdr:col>
                    <xdr:colOff>25400</xdr:colOff>
                    <xdr:row>10</xdr:row>
                    <xdr:rowOff>228600</xdr:rowOff>
                  </from>
                  <to>
                    <xdr:col>3</xdr:col>
                    <xdr:colOff>12700</xdr:colOff>
                    <xdr:row>12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18A2-6CDD-494B-B7F0-CA7B0E063FF4}">
  <sheetPr codeName="Sheet2"/>
  <dimension ref="B1:G38"/>
  <sheetViews>
    <sheetView topLeftCell="A26" workbookViewId="0">
      <selection activeCell="C26" sqref="C26"/>
    </sheetView>
  </sheetViews>
  <sheetFormatPr baseColWidth="10" defaultColWidth="11.140625" defaultRowHeight="20"/>
  <cols>
    <col min="2" max="2" width="15.7109375" bestFit="1" customWidth="1"/>
    <col min="3" max="3" width="27" bestFit="1" customWidth="1"/>
    <col min="4" max="4" width="13" bestFit="1" customWidth="1"/>
    <col min="5" max="5" width="15.42578125" bestFit="1" customWidth="1"/>
    <col min="7" max="7" width="15" bestFit="1" customWidth="1"/>
  </cols>
  <sheetData>
    <row r="1" spans="2:7" ht="21" thickBot="1">
      <c r="B1" t="s">
        <v>43</v>
      </c>
    </row>
    <row r="2" spans="2:7" ht="21" thickBot="1">
      <c r="B2" s="3"/>
      <c r="C2" s="4"/>
      <c r="D2" s="4"/>
      <c r="E2" s="4"/>
      <c r="F2" s="4"/>
      <c r="G2" s="5"/>
    </row>
    <row r="3" spans="2:7" ht="23" thickBot="1">
      <c r="B3" s="6" t="s">
        <v>33</v>
      </c>
      <c r="C3" t="s">
        <v>13</v>
      </c>
      <c r="D3" s="15" t="s">
        <v>76</v>
      </c>
      <c r="E3" s="2">
        <v>1.23</v>
      </c>
      <c r="F3" t="s">
        <v>18</v>
      </c>
      <c r="G3" s="7"/>
    </row>
    <row r="4" spans="2:7" ht="21" thickBot="1">
      <c r="B4" s="6"/>
      <c r="C4" t="s">
        <v>6</v>
      </c>
      <c r="D4" s="15" t="s">
        <v>59</v>
      </c>
      <c r="E4" s="2">
        <v>10</v>
      </c>
      <c r="F4" t="s">
        <v>15</v>
      </c>
      <c r="G4" s="7" t="s">
        <v>80</v>
      </c>
    </row>
    <row r="5" spans="2:7" ht="21" thickBot="1">
      <c r="B5" s="6"/>
      <c r="C5" t="s">
        <v>17</v>
      </c>
      <c r="D5" s="15" t="s">
        <v>77</v>
      </c>
      <c r="E5" s="11">
        <f>(1+0.07*E4)*10^(-3)</f>
        <v>1.7000000000000001E-3</v>
      </c>
      <c r="G5" s="7" t="s">
        <v>10</v>
      </c>
    </row>
    <row r="6" spans="2:7" ht="21" thickBot="1">
      <c r="B6" s="6"/>
      <c r="C6" t="s">
        <v>39</v>
      </c>
      <c r="D6" s="15" t="s">
        <v>78</v>
      </c>
      <c r="E6" s="1">
        <f>(E3*E5*E4^2/E11)^0.5</f>
        <v>1.4466790580138627E-2</v>
      </c>
      <c r="F6" t="s">
        <v>15</v>
      </c>
      <c r="G6" s="7"/>
    </row>
    <row r="7" spans="2:7" ht="21" thickBot="1">
      <c r="B7" s="6" t="s">
        <v>34</v>
      </c>
      <c r="C7" t="s">
        <v>29</v>
      </c>
      <c r="D7" s="15" t="s">
        <v>61</v>
      </c>
      <c r="E7" s="2">
        <v>15</v>
      </c>
      <c r="F7" t="s">
        <v>31</v>
      </c>
      <c r="G7" s="7"/>
    </row>
    <row r="8" spans="2:7" ht="21" thickBot="1">
      <c r="B8" s="6" t="s">
        <v>81</v>
      </c>
      <c r="C8" t="s">
        <v>30</v>
      </c>
      <c r="D8" s="15" t="s">
        <v>62</v>
      </c>
      <c r="E8" s="2">
        <v>10</v>
      </c>
      <c r="F8" t="s">
        <v>31</v>
      </c>
      <c r="G8" s="7"/>
    </row>
    <row r="9" spans="2:7" ht="21" thickBot="1">
      <c r="B9" s="6"/>
      <c r="C9" t="s">
        <v>36</v>
      </c>
      <c r="D9" s="15" t="s">
        <v>63</v>
      </c>
      <c r="E9" s="2">
        <v>5</v>
      </c>
      <c r="G9" s="7"/>
    </row>
    <row r="10" spans="2:7" ht="21" thickBot="1">
      <c r="B10" s="6"/>
      <c r="C10" t="s">
        <v>37</v>
      </c>
      <c r="D10" s="15" t="s">
        <v>64</v>
      </c>
      <c r="E10" s="2">
        <v>5</v>
      </c>
      <c r="G10" s="7"/>
    </row>
    <row r="11" spans="2:7" ht="23" thickBot="1">
      <c r="B11" s="6"/>
      <c r="C11" t="s">
        <v>25</v>
      </c>
      <c r="D11" s="15" t="s">
        <v>74</v>
      </c>
      <c r="E11" s="23">
        <f>999.842594+6.793952*10^(-2)*E7-9.09529*10^(-3)*E7^2+1.001685*10^(-4)*E7^3-1.120083*10^(-6)*E7^4+6.536332*10^(-9)*E7^5</f>
        <v>999.10157456273737</v>
      </c>
      <c r="F11" t="s">
        <v>18</v>
      </c>
      <c r="G11" s="7" t="s">
        <v>82</v>
      </c>
    </row>
    <row r="12" spans="2:7" ht="23" thickBot="1">
      <c r="B12" s="6"/>
      <c r="C12" t="s">
        <v>26</v>
      </c>
      <c r="D12" s="15" t="s">
        <v>75</v>
      </c>
      <c r="E12" s="23">
        <f>999.842594+6.793952*10^(-2)*E8-9.09529*10^(-3)*E8^2+1.001685*10^(-4)*E8^3-1.120083*10^(-6)*E8^4+6.536332*10^(-9)*E8^5</f>
        <v>999.70208150320002</v>
      </c>
      <c r="F12" t="s">
        <v>18</v>
      </c>
      <c r="G12" s="7" t="s">
        <v>32</v>
      </c>
    </row>
    <row r="13" spans="2:7" ht="21" thickBot="1">
      <c r="B13" s="6"/>
      <c r="C13" t="s">
        <v>27</v>
      </c>
      <c r="D13" t="s">
        <v>28</v>
      </c>
      <c r="E13" s="16">
        <f>(E12-E11)/E12</f>
        <v>6.0068589590180706E-4</v>
      </c>
      <c r="G13" s="7"/>
    </row>
    <row r="14" spans="2:7" ht="21" thickBot="1">
      <c r="B14" s="6" t="s">
        <v>35</v>
      </c>
      <c r="C14" t="s">
        <v>23</v>
      </c>
      <c r="D14" s="15" t="s">
        <v>65</v>
      </c>
      <c r="E14" s="2">
        <v>2000</v>
      </c>
      <c r="F14" t="s">
        <v>14</v>
      </c>
      <c r="G14" s="7"/>
    </row>
    <row r="15" spans="2:7" ht="21" thickBot="1">
      <c r="B15" s="6"/>
      <c r="C15" t="s">
        <v>24</v>
      </c>
      <c r="D15" s="15" t="s">
        <v>66</v>
      </c>
      <c r="E15" s="11">
        <f>E9+E10</f>
        <v>10</v>
      </c>
      <c r="F15" t="s">
        <v>14</v>
      </c>
      <c r="G15" s="7"/>
    </row>
    <row r="16" spans="2:7" ht="22">
      <c r="B16" s="6" t="s">
        <v>38</v>
      </c>
      <c r="C16" t="s">
        <v>2</v>
      </c>
      <c r="D16" s="15" t="s">
        <v>16</v>
      </c>
      <c r="E16">
        <v>9.8000000000000007</v>
      </c>
      <c r="F16" t="s">
        <v>19</v>
      </c>
      <c r="G16" s="7"/>
    </row>
    <row r="17" spans="2:7" ht="21" thickBot="1">
      <c r="B17" s="6"/>
      <c r="G17" s="7"/>
    </row>
    <row r="18" spans="2:7" ht="21" thickBot="1">
      <c r="B18" s="6" t="s">
        <v>40</v>
      </c>
      <c r="C18" t="s">
        <v>41</v>
      </c>
      <c r="D18" s="15" t="s">
        <v>67</v>
      </c>
      <c r="E18" s="19">
        <f>E13*E16*E15/E6^2</f>
        <v>281.27369675985727</v>
      </c>
      <c r="G18" s="7"/>
    </row>
    <row r="19" spans="2:7" ht="21" thickBot="1">
      <c r="B19" s="6"/>
      <c r="C19" t="s">
        <v>42</v>
      </c>
      <c r="D19" s="15" t="s">
        <v>68</v>
      </c>
      <c r="E19" s="20">
        <f>E18*E15/E14</f>
        <v>1.4063684837992865</v>
      </c>
      <c r="G19" s="7" t="s">
        <v>47</v>
      </c>
    </row>
    <row r="20" spans="2:7" ht="21" thickBot="1">
      <c r="B20" s="8"/>
      <c r="C20" s="9"/>
      <c r="D20" s="9"/>
      <c r="E20" s="9"/>
      <c r="F20" s="9"/>
      <c r="G20" s="10"/>
    </row>
    <row r="22" spans="2:7" ht="21" thickBot="1">
      <c r="B22" t="s">
        <v>44</v>
      </c>
    </row>
    <row r="23" spans="2:7" ht="21" thickBot="1">
      <c r="B23" s="3"/>
      <c r="C23" s="4"/>
      <c r="D23" s="4"/>
      <c r="E23" s="4"/>
      <c r="F23" s="4"/>
      <c r="G23" s="5"/>
    </row>
    <row r="24" spans="2:7" ht="21" thickBot="1">
      <c r="B24" s="6" t="s">
        <v>51</v>
      </c>
      <c r="C24" t="s">
        <v>45</v>
      </c>
      <c r="D24" s="15" t="s">
        <v>69</v>
      </c>
      <c r="E24" s="2">
        <v>2000</v>
      </c>
      <c r="F24" t="s">
        <v>14</v>
      </c>
      <c r="G24" s="7" t="s">
        <v>83</v>
      </c>
    </row>
    <row r="25" spans="2:7" ht="21" thickBot="1">
      <c r="B25" s="6"/>
      <c r="C25" t="s">
        <v>46</v>
      </c>
      <c r="D25" s="15" t="s">
        <v>71</v>
      </c>
      <c r="E25" s="22">
        <f>E6^2/(E16*E9)*(E24-E14/2)</f>
        <v>4.2711842793793408E-3</v>
      </c>
      <c r="F25" t="s">
        <v>14</v>
      </c>
      <c r="G25" s="7"/>
    </row>
    <row r="26" spans="2:7" ht="21" thickBot="1">
      <c r="B26" s="6"/>
      <c r="C26" t="s">
        <v>88</v>
      </c>
      <c r="D26" s="15" t="s">
        <v>70</v>
      </c>
      <c r="E26" s="18">
        <f>-E25/E13</f>
        <v>-7.110512013882115</v>
      </c>
      <c r="F26" t="s">
        <v>14</v>
      </c>
      <c r="G26" s="7"/>
    </row>
    <row r="27" spans="2:7" ht="21" thickBot="1">
      <c r="B27" s="6" t="s">
        <v>48</v>
      </c>
      <c r="C27" t="s">
        <v>49</v>
      </c>
      <c r="D27" s="15" t="s">
        <v>72</v>
      </c>
      <c r="E27" s="13">
        <f>E14/(E16*E15)^0.5</f>
        <v>202.03050891044214</v>
      </c>
      <c r="F27" t="s">
        <v>52</v>
      </c>
      <c r="G27" s="7"/>
    </row>
    <row r="28" spans="2:7" ht="21" thickBot="1">
      <c r="B28" s="6"/>
      <c r="D28" s="15" t="s">
        <v>72</v>
      </c>
      <c r="E28" s="25">
        <f>E27/3600</f>
        <v>5.6119585808456149E-2</v>
      </c>
      <c r="F28" t="s">
        <v>53</v>
      </c>
      <c r="G28" s="7"/>
    </row>
    <row r="29" spans="2:7" ht="21" thickBot="1">
      <c r="B29" s="6"/>
      <c r="C29" t="s">
        <v>50</v>
      </c>
      <c r="D29" s="15" t="s">
        <v>73</v>
      </c>
      <c r="E29" s="13">
        <f>2*E14*(E12/(E12-E11)/E16*(1/E9+1/E10))^0.5</f>
        <v>32972.602859106424</v>
      </c>
      <c r="F29" t="s">
        <v>52</v>
      </c>
      <c r="G29" s="7"/>
    </row>
    <row r="30" spans="2:7" ht="21" thickBot="1">
      <c r="B30" s="6"/>
      <c r="D30" s="15" t="s">
        <v>73</v>
      </c>
      <c r="E30" s="24">
        <f>E29/3600</f>
        <v>9.1590563497517845</v>
      </c>
      <c r="F30" t="s">
        <v>53</v>
      </c>
      <c r="G30" s="7"/>
    </row>
    <row r="31" spans="2:7" ht="21" thickBot="1">
      <c r="B31" s="8"/>
      <c r="C31" s="9"/>
      <c r="D31" s="9"/>
      <c r="E31" s="12"/>
      <c r="F31" s="9"/>
      <c r="G31" s="10"/>
    </row>
    <row r="32" spans="2:7" ht="21" thickBot="1"/>
    <row r="33" spans="4:5" ht="21" thickBot="1">
      <c r="D33" s="14" t="s">
        <v>86</v>
      </c>
      <c r="E33" s="2"/>
    </row>
    <row r="34" spans="4:5">
      <c r="D34" t="s">
        <v>89</v>
      </c>
    </row>
    <row r="35" spans="4:5" ht="21" thickBot="1"/>
    <row r="36" spans="4:5" ht="21" thickBot="1">
      <c r="D36" s="14" t="s">
        <v>87</v>
      </c>
      <c r="E36" s="11"/>
    </row>
    <row r="37" spans="4:5" ht="21" thickBot="1"/>
    <row r="38" spans="4:5" ht="21" thickBot="1">
      <c r="D38" t="s">
        <v>90</v>
      </c>
      <c r="E38" s="1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抗力係数と風応力</vt:lpstr>
      <vt:lpstr>成層度パラメータと静振（セイシュ）</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応力と静振（セイシュ）および水体の混合</dc:title>
  <dc:subject/>
  <dc:creator>Hiroshi Yajima</dc:creator>
  <cp:keywords/>
  <dc:description/>
  <cp:lastModifiedBy>Hiroshi Yajima</cp:lastModifiedBy>
  <dcterms:created xsi:type="dcterms:W3CDTF">2022-09-12T04:03:21Z</dcterms:created>
  <dcterms:modified xsi:type="dcterms:W3CDTF">2024-12-27T06:21:25Z</dcterms:modified>
  <cp:category/>
</cp:coreProperties>
</file>